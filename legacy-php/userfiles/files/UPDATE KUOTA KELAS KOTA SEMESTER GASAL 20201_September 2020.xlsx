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t LSE\Desktop\Dokumen\01 LSE-KOTA\Daftar Mata Kuliah KOTA\2020-2021\Gasal\"/>
    </mc:Choice>
  </mc:AlternateContent>
  <bookViews>
    <workbookView xWindow="0" yWindow="0" windowWidth="10404" windowHeight="7452"/>
  </bookViews>
  <sheets>
    <sheet name="MK. KOTA 20201" sheetId="1" r:id="rId1"/>
  </sheets>
  <definedNames>
    <definedName name="_xlnm._FilterDatabase" localSheetId="0" hidden="1">'MK. KOTA 20201'!$B$1:$B$42</definedName>
    <definedName name="_xlnm.Print_Area" localSheetId="0">'MK. KOTA 20201'!$A$1:$L$42</definedName>
    <definedName name="_xlnm.Print_Titles" localSheetId="0">'MK. KOTA 20201'!$5:$6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9" i="1" l="1"/>
  <c r="K39" i="1"/>
  <c r="L38" i="1" l="1"/>
  <c r="L37" i="1"/>
  <c r="L34" i="1"/>
  <c r="L35" i="1"/>
  <c r="L18" i="1"/>
  <c r="L17" i="1"/>
  <c r="L15" i="1"/>
  <c r="L16" i="1"/>
  <c r="L11" i="1"/>
  <c r="L12" i="1"/>
  <c r="L13" i="1"/>
  <c r="L10" i="1"/>
  <c r="L9" i="1"/>
  <c r="L8" i="1"/>
  <c r="L32" i="1"/>
  <c r="L31" i="1"/>
  <c r="L30" i="1"/>
  <c r="L27" i="1"/>
  <c r="L29" i="1"/>
  <c r="L28" i="1"/>
  <c r="L21" i="1"/>
  <c r="L20" i="1"/>
  <c r="L25" i="1"/>
  <c r="L24" i="1"/>
  <c r="L23" i="1"/>
  <c r="G39" i="1"/>
  <c r="J39" i="1"/>
</calcChain>
</file>

<file path=xl/sharedStrings.xml><?xml version="1.0" encoding="utf-8"?>
<sst xmlns="http://schemas.openxmlformats.org/spreadsheetml/2006/main" count="175" uniqueCount="90">
  <si>
    <t>KODE M.K</t>
  </si>
  <si>
    <t>MATA KULIAH</t>
  </si>
  <si>
    <t>PRODI</t>
  </si>
  <si>
    <t>NAMA DOSEN</t>
  </si>
  <si>
    <t>SKS</t>
  </si>
  <si>
    <t>NO.</t>
  </si>
  <si>
    <t>PSI</t>
  </si>
  <si>
    <t>Perancangan Ruang Dalam</t>
  </si>
  <si>
    <t>ARS</t>
  </si>
  <si>
    <t>SIF</t>
  </si>
  <si>
    <t>Program Studi Ilmu Komunikasi</t>
  </si>
  <si>
    <t>Program Studi Arsitektur</t>
  </si>
  <si>
    <t>Program Studi Desain Komunikasi Visual</t>
  </si>
  <si>
    <t>Program Studi Desain Produk Industri</t>
  </si>
  <si>
    <t>Program Studi Sistem Informasi</t>
  </si>
  <si>
    <t>Program Studi Teknik Informatika</t>
  </si>
  <si>
    <t>HARI</t>
  </si>
  <si>
    <t>KUOTA MAHASISWA</t>
  </si>
  <si>
    <t>WAKTU</t>
  </si>
  <si>
    <t>SENIN</t>
  </si>
  <si>
    <t>RABU</t>
  </si>
  <si>
    <t xml:space="preserve">         Program Studi Psikologi</t>
  </si>
  <si>
    <t>INF</t>
  </si>
  <si>
    <t>TA. 2020-2021</t>
  </si>
  <si>
    <t>Arsitektur Modelling</t>
  </si>
  <si>
    <t>M. Hikmat Subarkah, S.T., M.A.</t>
  </si>
  <si>
    <t>RUANGAN</t>
  </si>
  <si>
    <t>07.30 – 10.00</t>
  </si>
  <si>
    <t>IFA209</t>
  </si>
  <si>
    <t>Interaksi Manusia Komputer</t>
  </si>
  <si>
    <t>INS105</t>
  </si>
  <si>
    <t>Pengantar Sistem Informasi</t>
  </si>
  <si>
    <t>ILKOM</t>
  </si>
  <si>
    <t>Media Audio Visual</t>
  </si>
  <si>
    <t>Komunikasi dan Perilaku Manusia</t>
  </si>
  <si>
    <t>Perkembangan Teknologi Informasi dan Komunikasi</t>
  </si>
  <si>
    <t>Yosaphat Danis</t>
  </si>
  <si>
    <t>Nathanniel Antonio P.</t>
  </si>
  <si>
    <t>Suci Marini N.</t>
  </si>
  <si>
    <t>PSG107</t>
  </si>
  <si>
    <t>Psikologi dalam kehidupan sehari-hari</t>
  </si>
  <si>
    <t>Supriyanto</t>
  </si>
  <si>
    <t>07:30 - 09:10</t>
  </si>
  <si>
    <t>DP</t>
  </si>
  <si>
    <t>Haki Design</t>
  </si>
  <si>
    <t>Creative Urban Culture</t>
  </si>
  <si>
    <t>Urban Product Design Review</t>
  </si>
  <si>
    <t>Product Sketching and Rendering</t>
  </si>
  <si>
    <t>Urban Craft</t>
  </si>
  <si>
    <t>Teddy M. Darajat</t>
  </si>
  <si>
    <t>Fitorio Leksono</t>
  </si>
  <si>
    <t>Donna Angelina</t>
  </si>
  <si>
    <t>DKV</t>
  </si>
  <si>
    <t>VID513</t>
  </si>
  <si>
    <t>ARR502</t>
  </si>
  <si>
    <t>ARR503</t>
  </si>
  <si>
    <t>CMM105</t>
  </si>
  <si>
    <t>CMM103</t>
  </si>
  <si>
    <t>CMM207</t>
  </si>
  <si>
    <t>Pengantar Desain</t>
  </si>
  <si>
    <t>Total Keseluruhan</t>
  </si>
  <si>
    <t>07:30 – 10.00</t>
  </si>
  <si>
    <t>PSG507</t>
  </si>
  <si>
    <t>Komunitas Perkotaan</t>
  </si>
  <si>
    <t>PRO210</t>
  </si>
  <si>
    <t>PRD513</t>
  </si>
  <si>
    <t>PRO503</t>
  </si>
  <si>
    <t>PRD310</t>
  </si>
  <si>
    <t>PRO507</t>
  </si>
  <si>
    <t>Ket :</t>
  </si>
  <si>
    <t>KETERANGAN SISA KUOTA TERSEDIA</t>
  </si>
  <si>
    <t>Desi Dwi Kristanto</t>
  </si>
  <si>
    <t>UPDATE MATA KULIAH KOTA SEMESTER GASAL</t>
  </si>
  <si>
    <t>Pengantar Ilmu Komunikasi</t>
  </si>
  <si>
    <t>CMM101</t>
  </si>
  <si>
    <t>Gita Widya Laksmini S.</t>
  </si>
  <si>
    <t>Taufiq Panji Wisesa</t>
  </si>
  <si>
    <t>Yudhi Ariadi , S.T., M.A.</t>
  </si>
  <si>
    <t>Anggie Putiamary</t>
  </si>
  <si>
    <t>A701</t>
  </si>
  <si>
    <t>Hana Krisviana</t>
  </si>
  <si>
    <t>Alia Natakusuma</t>
  </si>
  <si>
    <t>Maria Jane Tienoviani Simanjuntak</t>
  </si>
  <si>
    <t>Lathifah Alfat</t>
  </si>
  <si>
    <t>Nur Uddin</t>
  </si>
  <si>
    <t>MAHASISWA KOTA TERVERIFIKASI</t>
  </si>
  <si>
    <t>Denny Ganjar Purnama</t>
  </si>
  <si>
    <t>Marcello Singadji</t>
  </si>
  <si>
    <t>Taufik Panji Wisesa</t>
  </si>
  <si>
    <t>Update Tgl. 07/09/2020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</si>
</sst>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Tw Cen MT"/>
      <family val="2"/>
    </font>
    <font>
      <b/>
      <sz val="12"/>
      <color theme="1"/>
      <name val="Tw Cen MT"/>
      <family val="2"/>
    </font>
    <font>
      <b/>
      <sz val="11"/>
      <color theme="0"/>
      <name val="Tw Cen MT"/>
      <family val="2"/>
    </font>
    <font>
      <b/>
      <sz val="11"/>
      <color theme="1"/>
      <name val="Tw Cen MT"/>
      <family val="2"/>
    </font>
    <font>
      <sz val="12"/>
      <color theme="1"/>
      <name val="Tw Cen MT"/>
      <family val="2"/>
    </font>
    <font>
      <sz val="12"/>
      <color theme="1"/>
      <name val="Calibri"/>
      <family val="2"/>
      <charset val="1"/>
      <scheme val="minor"/>
    </font>
    <font>
      <i/>
      <sz val="12"/>
      <color theme="1"/>
      <name val="Tw Cen MT"/>
      <family val="2"/>
    </font>
    <font>
      <sz val="12"/>
      <name val="Tw Cen MT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3" borderId="0" xfId="0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quotePrefix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justify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justify" vertical="center" wrapText="1"/>
    </xf>
    <xf numFmtId="0" fontId="5" fillId="0" borderId="1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justify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quotePrefix="1" applyFont="1" applyFill="1" applyBorder="1" applyAlignment="1">
      <alignment horizontal="center" vertical="center" wrapText="1"/>
    </xf>
    <xf numFmtId="0" fontId="2" fillId="0" borderId="0" xfId="0" quotePrefix="1" applyFont="1" applyFill="1"/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2" fillId="0" borderId="28" xfId="0" applyFont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justify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 wrapText="1"/>
    </xf>
    <xf numFmtId="0" fontId="5" fillId="7" borderId="9" xfId="0" quotePrefix="1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/>
    </xf>
    <xf numFmtId="0" fontId="5" fillId="7" borderId="7" xfId="0" quotePrefix="1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justify" vertical="center" wrapText="1"/>
    </xf>
    <xf numFmtId="0" fontId="5" fillId="7" borderId="22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justify" vertical="center" wrapText="1"/>
    </xf>
    <xf numFmtId="0" fontId="2" fillId="8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zoomScale="80" zoomScaleNormal="80" zoomScaleSheetLayoutView="80" workbookViewId="0">
      <pane ySplit="6" topLeftCell="A7" activePane="bottomLeft" state="frozen"/>
      <selection activeCell="A6" sqref="A6"/>
      <selection pane="bottomLeft" activeCell="O27" sqref="O27"/>
    </sheetView>
  </sheetViews>
  <sheetFormatPr defaultRowHeight="14.4" x14ac:dyDescent="0.3"/>
  <cols>
    <col min="1" max="1" width="5.5546875" style="2" customWidth="1"/>
    <col min="2" max="2" width="9.44140625" customWidth="1"/>
    <col min="3" max="3" width="16" customWidth="1"/>
    <col min="4" max="4" width="7.6640625" style="5" customWidth="1"/>
    <col min="5" max="5" width="11.88671875" style="2" customWidth="1"/>
    <col min="6" max="6" width="38.33203125" style="4" customWidth="1"/>
    <col min="7" max="7" width="8.5546875" customWidth="1"/>
    <col min="8" max="8" width="36.44140625" style="1" customWidth="1"/>
    <col min="9" max="9" width="13.88671875" style="1" customWidth="1"/>
    <col min="10" max="10" width="16" style="1" customWidth="1"/>
    <col min="11" max="11" width="20.109375" style="1" customWidth="1"/>
    <col min="12" max="12" width="20.88671875" style="2" customWidth="1"/>
    <col min="13" max="13" width="31.44140625" customWidth="1"/>
    <col min="14" max="14" width="9" style="7" customWidth="1"/>
    <col min="15" max="15" width="23" style="7" customWidth="1"/>
  </cols>
  <sheetData>
    <row r="1" spans="1:15" ht="15.6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5" ht="15.6" x14ac:dyDescent="0.3">
      <c r="A2" s="72" t="s">
        <v>72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5" ht="15.6" x14ac:dyDescent="0.3">
      <c r="A3" s="61" t="s">
        <v>23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5" ht="15" thickBot="1" x14ac:dyDescent="0.35">
      <c r="D4" s="1"/>
      <c r="E4" s="1"/>
      <c r="F4" s="3"/>
      <c r="G4" s="1"/>
    </row>
    <row r="5" spans="1:15" ht="18" customHeight="1" x14ac:dyDescent="0.3">
      <c r="A5" s="70" t="s">
        <v>5</v>
      </c>
      <c r="B5" s="68" t="s">
        <v>16</v>
      </c>
      <c r="C5" s="68" t="s">
        <v>18</v>
      </c>
      <c r="D5" s="68" t="s">
        <v>2</v>
      </c>
      <c r="E5" s="64" t="s">
        <v>0</v>
      </c>
      <c r="F5" s="64" t="s">
        <v>1</v>
      </c>
      <c r="G5" s="68" t="s">
        <v>4</v>
      </c>
      <c r="H5" s="66" t="s">
        <v>3</v>
      </c>
      <c r="I5" s="68" t="s">
        <v>26</v>
      </c>
      <c r="J5" s="68" t="s">
        <v>17</v>
      </c>
      <c r="K5" s="68" t="s">
        <v>85</v>
      </c>
      <c r="L5" s="62" t="s">
        <v>70</v>
      </c>
      <c r="N5" s="13"/>
      <c r="O5" s="12"/>
    </row>
    <row r="6" spans="1:15" ht="18.75" customHeight="1" thickBot="1" x14ac:dyDescent="0.35">
      <c r="A6" s="71"/>
      <c r="B6" s="69"/>
      <c r="C6" s="69"/>
      <c r="D6" s="69"/>
      <c r="E6" s="65"/>
      <c r="F6" s="65"/>
      <c r="G6" s="69"/>
      <c r="H6" s="67"/>
      <c r="I6" s="69"/>
      <c r="J6" s="69"/>
      <c r="K6" s="69"/>
      <c r="L6" s="63"/>
      <c r="N6" s="8"/>
      <c r="O6" s="12"/>
    </row>
    <row r="7" spans="1:15" ht="15" customHeight="1" x14ac:dyDescent="0.3">
      <c r="A7" s="73" t="s">
        <v>10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  <c r="N7" s="10"/>
    </row>
    <row r="8" spans="1:15" s="6" customFormat="1" ht="15.9" customHeight="1" x14ac:dyDescent="0.3">
      <c r="A8" s="44">
        <v>1</v>
      </c>
      <c r="B8" s="45" t="s">
        <v>19</v>
      </c>
      <c r="C8" s="45" t="s">
        <v>27</v>
      </c>
      <c r="D8" s="45" t="s">
        <v>32</v>
      </c>
      <c r="E8" s="46" t="s">
        <v>74</v>
      </c>
      <c r="F8" s="47" t="s">
        <v>73</v>
      </c>
      <c r="G8" s="46">
        <v>3</v>
      </c>
      <c r="H8" s="48" t="s">
        <v>38</v>
      </c>
      <c r="I8" s="49">
        <v>701</v>
      </c>
      <c r="J8" s="50">
        <v>45</v>
      </c>
      <c r="K8" s="51">
        <v>45</v>
      </c>
      <c r="L8" s="52">
        <f t="shared" ref="L8:L13" si="0">J8-K8</f>
        <v>0</v>
      </c>
      <c r="N8" s="11"/>
      <c r="O8" s="8"/>
    </row>
    <row r="9" spans="1:15" s="6" customFormat="1" ht="15.9" customHeight="1" x14ac:dyDescent="0.3">
      <c r="A9" s="44">
        <v>2</v>
      </c>
      <c r="B9" s="45" t="s">
        <v>19</v>
      </c>
      <c r="C9" s="45" t="s">
        <v>27</v>
      </c>
      <c r="D9" s="45" t="s">
        <v>32</v>
      </c>
      <c r="E9" s="46" t="s">
        <v>56</v>
      </c>
      <c r="F9" s="47" t="s">
        <v>34</v>
      </c>
      <c r="G9" s="46">
        <v>3</v>
      </c>
      <c r="H9" s="48" t="s">
        <v>37</v>
      </c>
      <c r="I9" s="49">
        <v>702</v>
      </c>
      <c r="J9" s="50">
        <v>45</v>
      </c>
      <c r="K9" s="51">
        <v>45</v>
      </c>
      <c r="L9" s="52">
        <f t="shared" si="0"/>
        <v>0</v>
      </c>
      <c r="N9" s="11"/>
      <c r="O9" s="8"/>
    </row>
    <row r="10" spans="1:15" s="6" customFormat="1" ht="18.75" customHeight="1" x14ac:dyDescent="0.3">
      <c r="A10" s="22">
        <v>3</v>
      </c>
      <c r="B10" s="15" t="s">
        <v>19</v>
      </c>
      <c r="C10" s="15" t="s">
        <v>27</v>
      </c>
      <c r="D10" s="15" t="s">
        <v>32</v>
      </c>
      <c r="E10" s="34" t="s">
        <v>58</v>
      </c>
      <c r="F10" s="23" t="s">
        <v>33</v>
      </c>
      <c r="G10" s="34">
        <v>3</v>
      </c>
      <c r="H10" s="25" t="s">
        <v>36</v>
      </c>
      <c r="I10" s="26">
        <v>703</v>
      </c>
      <c r="J10" s="24">
        <v>45</v>
      </c>
      <c r="K10" s="26">
        <v>45</v>
      </c>
      <c r="L10" s="37">
        <f t="shared" si="0"/>
        <v>0</v>
      </c>
      <c r="N10" s="11"/>
      <c r="O10" s="8"/>
    </row>
    <row r="11" spans="1:15" s="6" customFormat="1" ht="18.75" customHeight="1" x14ac:dyDescent="0.3">
      <c r="A11" s="22">
        <v>4</v>
      </c>
      <c r="B11" s="27" t="s">
        <v>20</v>
      </c>
      <c r="C11" s="15" t="s">
        <v>27</v>
      </c>
      <c r="D11" s="15" t="s">
        <v>32</v>
      </c>
      <c r="E11" s="34" t="s">
        <v>58</v>
      </c>
      <c r="F11" s="23" t="s">
        <v>33</v>
      </c>
      <c r="G11" s="34">
        <v>3</v>
      </c>
      <c r="H11" s="25" t="s">
        <v>36</v>
      </c>
      <c r="I11" s="26">
        <v>703</v>
      </c>
      <c r="J11" s="24">
        <v>45</v>
      </c>
      <c r="K11" s="26">
        <v>45</v>
      </c>
      <c r="L11" s="37">
        <f t="shared" si="0"/>
        <v>0</v>
      </c>
      <c r="N11" s="11"/>
      <c r="O11" s="8"/>
    </row>
    <row r="12" spans="1:15" s="6" customFormat="1" ht="18.75" customHeight="1" x14ac:dyDescent="0.3">
      <c r="A12" s="22">
        <v>5</v>
      </c>
      <c r="B12" s="27" t="s">
        <v>20</v>
      </c>
      <c r="C12" s="15" t="s">
        <v>27</v>
      </c>
      <c r="D12" s="15" t="s">
        <v>32</v>
      </c>
      <c r="E12" s="34" t="s">
        <v>56</v>
      </c>
      <c r="F12" s="23" t="s">
        <v>34</v>
      </c>
      <c r="G12" s="34">
        <v>3</v>
      </c>
      <c r="H12" s="25" t="s">
        <v>37</v>
      </c>
      <c r="I12" s="15">
        <v>702</v>
      </c>
      <c r="J12" s="24">
        <v>45</v>
      </c>
      <c r="K12" s="15">
        <v>45</v>
      </c>
      <c r="L12" s="37">
        <f t="shared" si="0"/>
        <v>0</v>
      </c>
      <c r="N12" s="11"/>
      <c r="O12" s="8"/>
    </row>
    <row r="13" spans="1:15" s="6" customFormat="1" ht="29.25" customHeight="1" x14ac:dyDescent="0.3">
      <c r="A13" s="22">
        <v>6</v>
      </c>
      <c r="B13" s="53" t="s">
        <v>20</v>
      </c>
      <c r="C13" s="45" t="s">
        <v>27</v>
      </c>
      <c r="D13" s="45" t="s">
        <v>32</v>
      </c>
      <c r="E13" s="46" t="s">
        <v>57</v>
      </c>
      <c r="F13" s="47" t="s">
        <v>35</v>
      </c>
      <c r="G13" s="46">
        <v>3</v>
      </c>
      <c r="H13" s="48" t="s">
        <v>80</v>
      </c>
      <c r="I13" s="45">
        <v>701</v>
      </c>
      <c r="J13" s="50">
        <v>45</v>
      </c>
      <c r="K13" s="45">
        <v>45</v>
      </c>
      <c r="L13" s="54">
        <f t="shared" si="0"/>
        <v>0</v>
      </c>
      <c r="N13" s="11"/>
      <c r="O13" s="8"/>
    </row>
    <row r="14" spans="1:15" ht="18.75" customHeight="1" x14ac:dyDescent="0.3">
      <c r="A14" s="73" t="s">
        <v>21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5" s="6" customFormat="1" ht="18.75" customHeight="1" x14ac:dyDescent="0.3">
      <c r="A15" s="55">
        <v>7</v>
      </c>
      <c r="B15" s="45" t="s">
        <v>19</v>
      </c>
      <c r="C15" s="56" t="s">
        <v>42</v>
      </c>
      <c r="D15" s="45" t="s">
        <v>6</v>
      </c>
      <c r="E15" s="45" t="s">
        <v>62</v>
      </c>
      <c r="F15" s="57" t="s">
        <v>63</v>
      </c>
      <c r="G15" s="45">
        <v>2</v>
      </c>
      <c r="H15" s="48" t="s">
        <v>41</v>
      </c>
      <c r="I15" s="45">
        <v>305</v>
      </c>
      <c r="J15" s="50">
        <v>45</v>
      </c>
      <c r="K15" s="45">
        <v>44</v>
      </c>
      <c r="L15" s="54">
        <f>J15-K15</f>
        <v>1</v>
      </c>
      <c r="N15" s="8"/>
      <c r="O15" s="8"/>
    </row>
    <row r="16" spans="1:15" s="6" customFormat="1" ht="18.75" customHeight="1" x14ac:dyDescent="0.3">
      <c r="A16" s="55">
        <v>8</v>
      </c>
      <c r="B16" s="45" t="s">
        <v>19</v>
      </c>
      <c r="C16" s="56" t="s">
        <v>42</v>
      </c>
      <c r="D16" s="45" t="s">
        <v>6</v>
      </c>
      <c r="E16" s="45" t="s">
        <v>39</v>
      </c>
      <c r="F16" s="57" t="s">
        <v>40</v>
      </c>
      <c r="G16" s="45">
        <v>2</v>
      </c>
      <c r="H16" s="50" t="s">
        <v>81</v>
      </c>
      <c r="I16" s="45">
        <v>304</v>
      </c>
      <c r="J16" s="50">
        <v>45</v>
      </c>
      <c r="K16" s="45">
        <v>45</v>
      </c>
      <c r="L16" s="54">
        <f>J16-K16</f>
        <v>0</v>
      </c>
      <c r="N16" s="8"/>
      <c r="O16" s="8"/>
    </row>
    <row r="17" spans="1:15" s="6" customFormat="1" ht="18.75" customHeight="1" x14ac:dyDescent="0.3">
      <c r="A17" s="56">
        <v>9</v>
      </c>
      <c r="B17" s="53" t="s">
        <v>20</v>
      </c>
      <c r="C17" s="56" t="s">
        <v>42</v>
      </c>
      <c r="D17" s="45" t="s">
        <v>6</v>
      </c>
      <c r="E17" s="45" t="s">
        <v>39</v>
      </c>
      <c r="F17" s="57" t="s">
        <v>40</v>
      </c>
      <c r="G17" s="45">
        <v>2</v>
      </c>
      <c r="H17" s="56" t="s">
        <v>75</v>
      </c>
      <c r="I17" s="45">
        <v>304</v>
      </c>
      <c r="J17" s="50">
        <v>45</v>
      </c>
      <c r="K17" s="48">
        <v>45</v>
      </c>
      <c r="L17" s="52">
        <f>J17-K17</f>
        <v>0</v>
      </c>
      <c r="N17" s="8"/>
      <c r="O17" s="8"/>
    </row>
    <row r="18" spans="1:15" s="6" customFormat="1" ht="18.75" customHeight="1" x14ac:dyDescent="0.3">
      <c r="A18" s="56">
        <v>10</v>
      </c>
      <c r="B18" s="53" t="s">
        <v>20</v>
      </c>
      <c r="C18" s="56" t="s">
        <v>42</v>
      </c>
      <c r="D18" s="45" t="s">
        <v>6</v>
      </c>
      <c r="E18" s="45" t="s">
        <v>39</v>
      </c>
      <c r="F18" s="57" t="s">
        <v>40</v>
      </c>
      <c r="G18" s="45">
        <v>2</v>
      </c>
      <c r="H18" s="56" t="s">
        <v>82</v>
      </c>
      <c r="I18" s="45">
        <v>305</v>
      </c>
      <c r="J18" s="50">
        <v>45</v>
      </c>
      <c r="K18" s="48">
        <v>45</v>
      </c>
      <c r="L18" s="52">
        <f>J18-K18</f>
        <v>0</v>
      </c>
      <c r="N18" s="8"/>
      <c r="O18" s="8"/>
    </row>
    <row r="19" spans="1:15" ht="18.75" customHeight="1" x14ac:dyDescent="0.3">
      <c r="A19" s="73" t="s">
        <v>11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5" s="6" customFormat="1" ht="18.75" customHeight="1" x14ac:dyDescent="0.3">
      <c r="A20" s="29">
        <v>11</v>
      </c>
      <c r="B20" s="15" t="s">
        <v>19</v>
      </c>
      <c r="C20" s="15" t="s">
        <v>27</v>
      </c>
      <c r="D20" s="14" t="s">
        <v>8</v>
      </c>
      <c r="E20" s="15" t="s">
        <v>55</v>
      </c>
      <c r="F20" s="28" t="s">
        <v>24</v>
      </c>
      <c r="G20" s="15">
        <v>3</v>
      </c>
      <c r="H20" s="24" t="s">
        <v>25</v>
      </c>
      <c r="I20" s="14">
        <v>808</v>
      </c>
      <c r="J20" s="14">
        <v>30</v>
      </c>
      <c r="K20" s="14">
        <v>30</v>
      </c>
      <c r="L20" s="37">
        <f>J20-K20</f>
        <v>0</v>
      </c>
      <c r="N20" s="8"/>
      <c r="O20" s="8"/>
    </row>
    <row r="21" spans="1:15" s="9" customFormat="1" ht="18.75" customHeight="1" x14ac:dyDescent="0.3">
      <c r="A21" s="29">
        <v>12</v>
      </c>
      <c r="B21" s="14" t="s">
        <v>20</v>
      </c>
      <c r="C21" s="15" t="s">
        <v>27</v>
      </c>
      <c r="D21" s="14" t="s">
        <v>8</v>
      </c>
      <c r="E21" s="15" t="s">
        <v>54</v>
      </c>
      <c r="F21" s="28" t="s">
        <v>7</v>
      </c>
      <c r="G21" s="15">
        <v>3</v>
      </c>
      <c r="H21" s="25" t="s">
        <v>77</v>
      </c>
      <c r="I21" s="14">
        <v>401</v>
      </c>
      <c r="J21" s="14">
        <v>30</v>
      </c>
      <c r="K21" s="14">
        <v>30</v>
      </c>
      <c r="L21" s="37">
        <f>J21-K21</f>
        <v>0</v>
      </c>
      <c r="M21" s="6"/>
      <c r="N21" s="8"/>
      <c r="O21" s="8"/>
    </row>
    <row r="22" spans="1:15" ht="18.75" customHeight="1" x14ac:dyDescent="0.3">
      <c r="A22" s="73" t="s">
        <v>12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5"/>
      <c r="M22" s="6"/>
      <c r="N22" s="8"/>
      <c r="O22" s="8"/>
    </row>
    <row r="23" spans="1:15" s="6" customFormat="1" ht="18.75" customHeight="1" x14ac:dyDescent="0.3">
      <c r="A23" s="58">
        <v>13</v>
      </c>
      <c r="B23" s="45" t="s">
        <v>19</v>
      </c>
      <c r="C23" s="45" t="s">
        <v>27</v>
      </c>
      <c r="D23" s="56" t="s">
        <v>52</v>
      </c>
      <c r="E23" s="45" t="s">
        <v>53</v>
      </c>
      <c r="F23" s="57" t="s">
        <v>59</v>
      </c>
      <c r="G23" s="45">
        <v>3</v>
      </c>
      <c r="H23" s="56" t="s">
        <v>78</v>
      </c>
      <c r="I23" s="45">
        <v>303</v>
      </c>
      <c r="J23" s="56">
        <v>46</v>
      </c>
      <c r="K23" s="45">
        <v>46</v>
      </c>
      <c r="L23" s="54">
        <f>J23-K23</f>
        <v>0</v>
      </c>
      <c r="N23" s="8"/>
      <c r="O23" s="8"/>
    </row>
    <row r="24" spans="1:15" s="6" customFormat="1" ht="18.75" customHeight="1" x14ac:dyDescent="0.3">
      <c r="A24" s="58">
        <v>14</v>
      </c>
      <c r="B24" s="56" t="s">
        <v>20</v>
      </c>
      <c r="C24" s="45" t="s">
        <v>27</v>
      </c>
      <c r="D24" s="56" t="s">
        <v>52</v>
      </c>
      <c r="E24" s="45" t="s">
        <v>53</v>
      </c>
      <c r="F24" s="57" t="s">
        <v>59</v>
      </c>
      <c r="G24" s="45">
        <v>3</v>
      </c>
      <c r="H24" s="56" t="s">
        <v>76</v>
      </c>
      <c r="I24" s="45">
        <v>303</v>
      </c>
      <c r="J24" s="56">
        <v>45</v>
      </c>
      <c r="K24" s="45">
        <v>45</v>
      </c>
      <c r="L24" s="54">
        <f>J24-K24</f>
        <v>0</v>
      </c>
      <c r="N24" s="8"/>
      <c r="O24" s="8"/>
    </row>
    <row r="25" spans="1:15" ht="18.75" customHeight="1" x14ac:dyDescent="0.3">
      <c r="A25" s="58">
        <v>15</v>
      </c>
      <c r="B25" s="56" t="s">
        <v>20</v>
      </c>
      <c r="C25" s="45" t="s">
        <v>27</v>
      </c>
      <c r="D25" s="56" t="s">
        <v>52</v>
      </c>
      <c r="E25" s="45" t="s">
        <v>53</v>
      </c>
      <c r="F25" s="57" t="s">
        <v>59</v>
      </c>
      <c r="G25" s="45">
        <v>3</v>
      </c>
      <c r="H25" s="56" t="s">
        <v>71</v>
      </c>
      <c r="I25" s="56">
        <v>306</v>
      </c>
      <c r="J25" s="56">
        <v>45</v>
      </c>
      <c r="K25" s="50">
        <v>45</v>
      </c>
      <c r="L25" s="52">
        <f>J25-K25</f>
        <v>0</v>
      </c>
      <c r="M25" s="6"/>
      <c r="N25" s="8"/>
      <c r="O25" s="8"/>
    </row>
    <row r="26" spans="1:15" ht="18.75" customHeight="1" x14ac:dyDescent="0.3">
      <c r="A26" s="73" t="s">
        <v>13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5"/>
      <c r="M26" s="6"/>
      <c r="N26" s="8"/>
      <c r="O26" s="8"/>
    </row>
    <row r="27" spans="1:15" s="6" customFormat="1" ht="18.75" customHeight="1" x14ac:dyDescent="0.3">
      <c r="A27" s="58">
        <v>16</v>
      </c>
      <c r="B27" s="45" t="s">
        <v>19</v>
      </c>
      <c r="C27" s="56" t="s">
        <v>27</v>
      </c>
      <c r="D27" s="56" t="s">
        <v>43</v>
      </c>
      <c r="E27" s="49" t="s">
        <v>67</v>
      </c>
      <c r="F27" s="59" t="s">
        <v>46</v>
      </c>
      <c r="G27" s="45">
        <v>3</v>
      </c>
      <c r="H27" s="56" t="s">
        <v>50</v>
      </c>
      <c r="I27" s="56" t="s">
        <v>79</v>
      </c>
      <c r="J27" s="56">
        <v>45</v>
      </c>
      <c r="K27" s="50">
        <v>45</v>
      </c>
      <c r="L27" s="52">
        <f t="shared" ref="L27:L32" si="1">J27-K27</f>
        <v>0</v>
      </c>
      <c r="N27" s="8"/>
      <c r="O27" s="8"/>
    </row>
    <row r="28" spans="1:15" s="6" customFormat="1" ht="18.75" customHeight="1" x14ac:dyDescent="0.3">
      <c r="A28" s="35">
        <v>17</v>
      </c>
      <c r="B28" s="15" t="s">
        <v>19</v>
      </c>
      <c r="C28" s="15" t="s">
        <v>27</v>
      </c>
      <c r="D28" s="14" t="s">
        <v>43</v>
      </c>
      <c r="E28" s="26" t="s">
        <v>64</v>
      </c>
      <c r="F28" s="30" t="s">
        <v>44</v>
      </c>
      <c r="G28" s="15">
        <v>3</v>
      </c>
      <c r="H28" s="14" t="s">
        <v>49</v>
      </c>
      <c r="I28" s="15">
        <v>302</v>
      </c>
      <c r="J28" s="14">
        <v>45</v>
      </c>
      <c r="K28" s="15">
        <v>26</v>
      </c>
      <c r="L28" s="37">
        <f t="shared" si="1"/>
        <v>19</v>
      </c>
      <c r="N28" s="8"/>
      <c r="O28" s="8"/>
    </row>
    <row r="29" spans="1:15" s="6" customFormat="1" ht="18.75" customHeight="1" x14ac:dyDescent="0.3">
      <c r="A29" s="58">
        <v>18</v>
      </c>
      <c r="B29" s="45" t="s">
        <v>19</v>
      </c>
      <c r="C29" s="15" t="s">
        <v>27</v>
      </c>
      <c r="D29" s="56" t="s">
        <v>43</v>
      </c>
      <c r="E29" s="49" t="s">
        <v>65</v>
      </c>
      <c r="F29" s="59" t="s">
        <v>45</v>
      </c>
      <c r="G29" s="45">
        <v>3</v>
      </c>
      <c r="H29" s="56" t="s">
        <v>51</v>
      </c>
      <c r="I29" s="80">
        <v>306</v>
      </c>
      <c r="J29" s="56">
        <v>45</v>
      </c>
      <c r="K29" s="80">
        <v>19</v>
      </c>
      <c r="L29" s="54">
        <f t="shared" si="1"/>
        <v>26</v>
      </c>
      <c r="N29" s="8"/>
      <c r="O29" s="8"/>
    </row>
    <row r="30" spans="1:15" s="6" customFormat="1" ht="18.75" customHeight="1" x14ac:dyDescent="0.3">
      <c r="A30" s="58">
        <v>19</v>
      </c>
      <c r="B30" s="53" t="s">
        <v>20</v>
      </c>
      <c r="C30" s="45" t="s">
        <v>27</v>
      </c>
      <c r="D30" s="56" t="s">
        <v>43</v>
      </c>
      <c r="E30" s="49" t="s">
        <v>67</v>
      </c>
      <c r="F30" s="59" t="s">
        <v>46</v>
      </c>
      <c r="G30" s="45">
        <v>3</v>
      </c>
      <c r="H30" s="56" t="s">
        <v>50</v>
      </c>
      <c r="I30" s="49">
        <v>301</v>
      </c>
      <c r="J30" s="56">
        <v>45</v>
      </c>
      <c r="K30" s="49">
        <v>45</v>
      </c>
      <c r="L30" s="54">
        <f t="shared" si="1"/>
        <v>0</v>
      </c>
      <c r="N30" s="8"/>
      <c r="O30" s="8"/>
    </row>
    <row r="31" spans="1:15" s="6" customFormat="1" ht="18.75" customHeight="1" x14ac:dyDescent="0.3">
      <c r="A31" s="58">
        <v>20</v>
      </c>
      <c r="B31" s="53" t="s">
        <v>20</v>
      </c>
      <c r="C31" s="15" t="s">
        <v>27</v>
      </c>
      <c r="D31" s="56" t="s">
        <v>43</v>
      </c>
      <c r="E31" s="49" t="s">
        <v>68</v>
      </c>
      <c r="F31" s="59" t="s">
        <v>47</v>
      </c>
      <c r="G31" s="45">
        <v>3</v>
      </c>
      <c r="H31" s="56" t="s">
        <v>88</v>
      </c>
      <c r="I31" s="49">
        <v>610</v>
      </c>
      <c r="J31" s="56">
        <v>45</v>
      </c>
      <c r="K31" s="49">
        <v>16</v>
      </c>
      <c r="L31" s="54">
        <f t="shared" si="1"/>
        <v>29</v>
      </c>
      <c r="N31" s="8"/>
      <c r="O31" s="8"/>
    </row>
    <row r="32" spans="1:15" ht="18.75" customHeight="1" x14ac:dyDescent="0.3">
      <c r="A32" s="58">
        <v>21</v>
      </c>
      <c r="B32" s="53" t="s">
        <v>20</v>
      </c>
      <c r="C32" s="15" t="s">
        <v>27</v>
      </c>
      <c r="D32" s="56" t="s">
        <v>43</v>
      </c>
      <c r="E32" s="49" t="s">
        <v>66</v>
      </c>
      <c r="F32" s="59" t="s">
        <v>48</v>
      </c>
      <c r="G32" s="45">
        <v>3</v>
      </c>
      <c r="H32" s="56" t="s">
        <v>51</v>
      </c>
      <c r="I32" s="49">
        <v>615</v>
      </c>
      <c r="J32" s="56">
        <v>45</v>
      </c>
      <c r="K32" s="49">
        <v>24</v>
      </c>
      <c r="L32" s="54">
        <f t="shared" si="1"/>
        <v>21</v>
      </c>
      <c r="M32" s="6"/>
      <c r="N32" s="8"/>
      <c r="O32" s="8"/>
    </row>
    <row r="33" spans="1:15" ht="18.75" customHeight="1" x14ac:dyDescent="0.3">
      <c r="A33" s="73" t="s">
        <v>14</v>
      </c>
      <c r="B33" s="79"/>
      <c r="C33" s="79"/>
      <c r="D33" s="79"/>
      <c r="E33" s="79"/>
      <c r="F33" s="79"/>
      <c r="G33" s="79"/>
      <c r="H33" s="74"/>
      <c r="I33" s="74"/>
      <c r="J33" s="74"/>
      <c r="K33" s="74"/>
      <c r="L33" s="75"/>
      <c r="M33" s="6"/>
      <c r="N33" s="8"/>
      <c r="O33" s="8"/>
    </row>
    <row r="34" spans="1:15" s="6" customFormat="1" ht="18.75" customHeight="1" x14ac:dyDescent="0.3">
      <c r="A34" s="56">
        <v>22</v>
      </c>
      <c r="B34" s="45" t="s">
        <v>20</v>
      </c>
      <c r="C34" s="45" t="s">
        <v>61</v>
      </c>
      <c r="D34" s="45" t="s">
        <v>9</v>
      </c>
      <c r="E34" s="45" t="s">
        <v>30</v>
      </c>
      <c r="F34" s="45" t="s">
        <v>31</v>
      </c>
      <c r="G34" s="45">
        <v>3</v>
      </c>
      <c r="H34" s="48" t="s">
        <v>87</v>
      </c>
      <c r="I34" s="56">
        <v>705</v>
      </c>
      <c r="J34" s="56">
        <v>45</v>
      </c>
      <c r="K34" s="50">
        <v>45</v>
      </c>
      <c r="L34" s="52">
        <f>J34-K34</f>
        <v>0</v>
      </c>
      <c r="N34" s="8"/>
      <c r="O34" s="8"/>
    </row>
    <row r="35" spans="1:15" ht="18.75" customHeight="1" x14ac:dyDescent="0.3">
      <c r="A35" s="29">
        <v>23</v>
      </c>
      <c r="B35" s="15" t="s">
        <v>20</v>
      </c>
      <c r="C35" s="15" t="s">
        <v>61</v>
      </c>
      <c r="D35" s="15" t="s">
        <v>9</v>
      </c>
      <c r="E35" s="15" t="s">
        <v>30</v>
      </c>
      <c r="F35" s="15" t="s">
        <v>31</v>
      </c>
      <c r="G35" s="15">
        <v>3</v>
      </c>
      <c r="H35" s="25" t="s">
        <v>86</v>
      </c>
      <c r="I35" s="31">
        <v>302</v>
      </c>
      <c r="J35" s="14">
        <v>45</v>
      </c>
      <c r="K35" s="31">
        <v>45</v>
      </c>
      <c r="L35" s="37">
        <f>J35-K35</f>
        <v>0</v>
      </c>
      <c r="M35" s="6"/>
      <c r="N35" s="8"/>
      <c r="O35" s="8"/>
    </row>
    <row r="36" spans="1:15" s="6" customFormat="1" ht="18.75" customHeight="1" x14ac:dyDescent="0.3">
      <c r="A36" s="73" t="s">
        <v>15</v>
      </c>
      <c r="B36" s="79"/>
      <c r="C36" s="79"/>
      <c r="D36" s="79"/>
      <c r="E36" s="79"/>
      <c r="F36" s="79"/>
      <c r="G36" s="74"/>
      <c r="H36" s="74"/>
      <c r="I36" s="74"/>
      <c r="J36" s="74"/>
      <c r="K36" s="74"/>
      <c r="L36" s="75"/>
      <c r="N36" s="8"/>
      <c r="O36" s="8"/>
    </row>
    <row r="37" spans="1:15" s="6" customFormat="1" ht="21.75" customHeight="1" x14ac:dyDescent="0.3">
      <c r="A37" s="22">
        <v>24</v>
      </c>
      <c r="B37" s="15" t="s">
        <v>19</v>
      </c>
      <c r="C37" s="15" t="s">
        <v>27</v>
      </c>
      <c r="D37" s="15" t="s">
        <v>22</v>
      </c>
      <c r="E37" s="15" t="s">
        <v>28</v>
      </c>
      <c r="F37" s="15" t="s">
        <v>29</v>
      </c>
      <c r="G37" s="25">
        <v>3</v>
      </c>
      <c r="H37" s="24" t="s">
        <v>83</v>
      </c>
      <c r="I37" s="14">
        <v>711</v>
      </c>
      <c r="J37" s="14">
        <v>45</v>
      </c>
      <c r="K37" s="14">
        <v>45</v>
      </c>
      <c r="L37" s="37">
        <f>J37-K37</f>
        <v>0</v>
      </c>
      <c r="N37" s="8"/>
      <c r="O37" s="8"/>
    </row>
    <row r="38" spans="1:15" ht="18" customHeight="1" thickBot="1" x14ac:dyDescent="0.35">
      <c r="A38" s="35">
        <v>25</v>
      </c>
      <c r="B38" s="14" t="s">
        <v>20</v>
      </c>
      <c r="C38" s="15" t="s">
        <v>27</v>
      </c>
      <c r="D38" s="15" t="s">
        <v>22</v>
      </c>
      <c r="E38" s="15" t="s">
        <v>28</v>
      </c>
      <c r="F38" s="15" t="s">
        <v>29</v>
      </c>
      <c r="G38" s="15">
        <v>3</v>
      </c>
      <c r="H38" s="24" t="s">
        <v>84</v>
      </c>
      <c r="I38" s="14">
        <v>611</v>
      </c>
      <c r="J38" s="14">
        <v>45</v>
      </c>
      <c r="K38" s="14">
        <v>45</v>
      </c>
      <c r="L38" s="37">
        <f>J38-K38</f>
        <v>0</v>
      </c>
    </row>
    <row r="39" spans="1:15" ht="25.8" customHeight="1" thickBot="1" x14ac:dyDescent="0.35">
      <c r="A39" s="76" t="s">
        <v>60</v>
      </c>
      <c r="B39" s="77"/>
      <c r="C39" s="77"/>
      <c r="D39" s="77"/>
      <c r="E39" s="77"/>
      <c r="F39" s="78"/>
      <c r="G39" s="41">
        <f>SUM(G8:G13,G15:G18,G20:G21,G23:G25,G27:G32,G34:G35,G37:G38)</f>
        <v>71</v>
      </c>
      <c r="H39" s="41"/>
      <c r="I39" s="41"/>
      <c r="J39" s="41">
        <f>SUM(J8,J9:J13,J15:J18,J20:J21,J23:J25,J27:J32,J34:J35,J37:J38)</f>
        <v>1096</v>
      </c>
      <c r="K39" s="43">
        <f>K38+K37+K35+K34+K32+K31+K30+K29+K28+K27+K25+K24+K23+K21+K20+K18+K17+K16+K15+K13+K12+K11+K10+K9+K8</f>
        <v>1000</v>
      </c>
      <c r="L39" s="60">
        <f>L32+L31+L29+L28+L15</f>
        <v>96</v>
      </c>
    </row>
    <row r="40" spans="1:15" ht="15.6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</row>
    <row r="41" spans="1:15" ht="15.6" x14ac:dyDescent="0.3">
      <c r="A41" s="16"/>
      <c r="B41" s="17"/>
      <c r="C41" s="17"/>
      <c r="D41" s="18"/>
      <c r="E41" s="16"/>
      <c r="F41" s="19"/>
      <c r="G41" s="17"/>
      <c r="H41" s="20"/>
      <c r="I41" s="20"/>
      <c r="J41" s="20"/>
      <c r="K41" s="20"/>
      <c r="L41" s="42" t="s">
        <v>89</v>
      </c>
    </row>
    <row r="42" spans="1:15" ht="15.6" x14ac:dyDescent="0.3">
      <c r="A42" s="36" t="s">
        <v>69</v>
      </c>
      <c r="B42" s="81"/>
      <c r="C42" s="38"/>
      <c r="D42" s="32"/>
      <c r="E42" s="33"/>
      <c r="F42" s="19"/>
      <c r="G42" s="17"/>
      <c r="H42" s="20"/>
      <c r="I42" s="20"/>
      <c r="J42" s="20"/>
      <c r="K42" s="20"/>
      <c r="L42" s="21"/>
    </row>
  </sheetData>
  <mergeCells count="23">
    <mergeCell ref="A7:L7"/>
    <mergeCell ref="A14:L14"/>
    <mergeCell ref="A19:L19"/>
    <mergeCell ref="A39:F39"/>
    <mergeCell ref="A22:L22"/>
    <mergeCell ref="A26:L26"/>
    <mergeCell ref="A33:L33"/>
    <mergeCell ref="A36:L36"/>
    <mergeCell ref="A1:L1"/>
    <mergeCell ref="L5:L6"/>
    <mergeCell ref="E5:E6"/>
    <mergeCell ref="F5:F6"/>
    <mergeCell ref="H5:H6"/>
    <mergeCell ref="G5:G6"/>
    <mergeCell ref="B5:B6"/>
    <mergeCell ref="C5:C6"/>
    <mergeCell ref="D5:D6"/>
    <mergeCell ref="A5:A6"/>
    <mergeCell ref="A2:L2"/>
    <mergeCell ref="A3:L3"/>
    <mergeCell ref="K5:K6"/>
    <mergeCell ref="I5:I6"/>
    <mergeCell ref="J5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MK. KOTA 20201</vt:lpstr>
      <vt:lpstr>'MK. KOTA 20201'!Print_Area</vt:lpstr>
      <vt:lpstr>'MK. KOTA 20201'!Print_Titles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UPJ</dc:creator>
  <cp:lastModifiedBy>Unit LSE</cp:lastModifiedBy>
  <cp:lastPrinted>2020-01-13T06:02:43Z</cp:lastPrinted>
  <dcterms:created xsi:type="dcterms:W3CDTF">2019-10-25T03:25:19Z</dcterms:created>
  <dcterms:modified xsi:type="dcterms:W3CDTF">2020-09-07T06:02:06Z</dcterms:modified>
</cp:coreProperties>
</file>